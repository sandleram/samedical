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projetos\samed\docs\layout\Modelo\"/>
    </mc:Choice>
  </mc:AlternateContent>
  <xr:revisionPtr revIDLastSave="0" documentId="13_ncr:1_{A2501BCE-2875-49BB-AABC-EDCD38C64BDD}" xr6:coauthVersionLast="47" xr6:coauthVersionMax="47" xr10:uidLastSave="{00000000-0000-0000-0000-000000000000}"/>
  <bookViews>
    <workbookView xWindow="6855" yWindow="3285" windowWidth="18990" windowHeight="9975" activeTab="3" xr2:uid="{00000000-000D-0000-FFFF-FFFF00000000}"/>
  </bookViews>
  <sheets>
    <sheet name="Beneficiarios" sheetId="1" r:id="rId1"/>
    <sheet name="Afastados" sheetId="2" r:id="rId2"/>
    <sheet name="Beneficio Previdenciario" sheetId="8" r:id="rId3"/>
    <sheet name="Absenteismo" sheetId="4" r:id="rId4"/>
    <sheet name="Empresa(san)" sheetId="9" r:id="rId5"/>
    <sheet name="referencia" sheetId="5" r:id="rId6"/>
    <sheet name="Situaçõ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4" l="1" a="1"/>
  <c r="P1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<sst xmlns="http://schemas.openxmlformats.org/spreadsheetml/2006/main" count="313" uniqueCount="227">
  <si>
    <t>nome</t>
  </si>
  <si>
    <t>cpf</t>
  </si>
  <si>
    <t>data_nascimento</t>
  </si>
  <si>
    <t>bairro</t>
  </si>
  <si>
    <t>cep</t>
  </si>
  <si>
    <t>cidade</t>
  </si>
  <si>
    <t>telefone</t>
  </si>
  <si>
    <t>sexo</t>
  </si>
  <si>
    <t>profissao</t>
  </si>
  <si>
    <t>ocupacao</t>
  </si>
  <si>
    <t>pessoa_politicamente_exposta</t>
  </si>
  <si>
    <t>realiza_alguma_atividade_perigosa_na_profissao</t>
  </si>
  <si>
    <t>rg</t>
  </si>
  <si>
    <t>estado_civil</t>
  </si>
  <si>
    <t>email</t>
  </si>
  <si>
    <t>cnpj</t>
  </si>
  <si>
    <t>razao_social</t>
  </si>
  <si>
    <t>filial</t>
  </si>
  <si>
    <t>nome_colaborador</t>
  </si>
  <si>
    <t>pis</t>
  </si>
  <si>
    <t>nome_mae</t>
  </si>
  <si>
    <t>cargo</t>
  </si>
  <si>
    <t>data_inicio_afastamento</t>
  </si>
  <si>
    <t>data_fim_afastamento</t>
  </si>
  <si>
    <t>cid</t>
  </si>
  <si>
    <t>tipo_afastamento</t>
  </si>
  <si>
    <t>assistencia_medica</t>
  </si>
  <si>
    <t>plano_assitencia_medica</t>
  </si>
  <si>
    <t>logradouro</t>
  </si>
  <si>
    <t>rua</t>
  </si>
  <si>
    <t>num</t>
  </si>
  <si>
    <t>complemento</t>
  </si>
  <si>
    <t>uf</t>
  </si>
  <si>
    <t>nb</t>
  </si>
  <si>
    <t>nit</t>
  </si>
  <si>
    <t>especie</t>
  </si>
  <si>
    <t>situacao</t>
  </si>
  <si>
    <t>data_entrada_requerimento</t>
  </si>
  <si>
    <t>data_inicio</t>
  </si>
  <si>
    <t>data_despacho</t>
  </si>
  <si>
    <t>data_realizacao_pericia</t>
  </si>
  <si>
    <t>conclusao_pericia_medica</t>
  </si>
  <si>
    <t>data_limite</t>
  </si>
  <si>
    <t>data_indeferimento</t>
  </si>
  <si>
    <t>data_cessacao</t>
  </si>
  <si>
    <t>nexo_tecnico</t>
  </si>
  <si>
    <t>grupo</t>
  </si>
  <si>
    <t>subgrupo</t>
  </si>
  <si>
    <t>matricula</t>
  </si>
  <si>
    <t>turno</t>
  </si>
  <si>
    <t>possui_deficiencia</t>
  </si>
  <si>
    <t>documento_id</t>
  </si>
  <si>
    <t>motivo_id</t>
  </si>
  <si>
    <t>hospital_clinica</t>
  </si>
  <si>
    <t>data_saida</t>
  </si>
  <si>
    <t>qtde_dias_atestado</t>
  </si>
  <si>
    <t>hora_saida</t>
  </si>
  <si>
    <t>hora_retorno</t>
  </si>
  <si>
    <t>especialidade_id</t>
  </si>
  <si>
    <t>emissor_id</t>
  </si>
  <si>
    <t>profissional</t>
  </si>
  <si>
    <t>num_crm</t>
  </si>
  <si>
    <t>tipo_absenteismo_id</t>
  </si>
  <si>
    <t xml:space="preserve">IDS </t>
  </si>
  <si>
    <t>cargo_id</t>
  </si>
  <si>
    <t>setor_id</t>
  </si>
  <si>
    <t>departamento_id</t>
  </si>
  <si>
    <t>Profissional</t>
  </si>
  <si>
    <t>Afastamento por horas</t>
  </si>
  <si>
    <t>Auxiliar operacional</t>
  </si>
  <si>
    <t>CD – Logística madeira III</t>
  </si>
  <si>
    <t>Administrativo</t>
  </si>
  <si>
    <t>Clinica Médica</t>
  </si>
  <si>
    <t>Pronto Atendimento/Pronto Socorro</t>
  </si>
  <si>
    <t>Declaração</t>
  </si>
  <si>
    <t>SUS</t>
  </si>
  <si>
    <t>Médico</t>
  </si>
  <si>
    <t>Entre 1 e 2 dias de afastamento</t>
  </si>
  <si>
    <t>CD – Logística Madeiras III</t>
  </si>
  <si>
    <t>Atendimento</t>
  </si>
  <si>
    <t>Não informado</t>
  </si>
  <si>
    <t>Consulta Médica</t>
  </si>
  <si>
    <t>Atestado</t>
  </si>
  <si>
    <t>Plano de saúde</t>
  </si>
  <si>
    <t>Recepção</t>
  </si>
  <si>
    <t>Entre 3 e 15 dias de afastamento</t>
  </si>
  <si>
    <t>Gerencia</t>
  </si>
  <si>
    <t>RH – serviços gerais operacional</t>
  </si>
  <si>
    <t>Cadastro</t>
  </si>
  <si>
    <t>Ortopedia</t>
  </si>
  <si>
    <t>Terapia</t>
  </si>
  <si>
    <t>Fisioterapeuta</t>
  </si>
  <si>
    <t>Mais de 15 dias de afastamento</t>
  </si>
  <si>
    <t>Diretoria</t>
  </si>
  <si>
    <t>Cd – Transporte / Central Soluções wms</t>
  </si>
  <si>
    <t>Comercial</t>
  </si>
  <si>
    <t>Odontologia</t>
  </si>
  <si>
    <t>Consulta odontológica</t>
  </si>
  <si>
    <t>Dentista</t>
  </si>
  <si>
    <t>Licença maternidade</t>
  </si>
  <si>
    <t>Assistente adm transportes</t>
  </si>
  <si>
    <t>CD – Logística Madeiras II</t>
  </si>
  <si>
    <t>Desenvolvimento TI</t>
  </si>
  <si>
    <t>Exames</t>
  </si>
  <si>
    <t>Auxiliar de limpeza</t>
  </si>
  <si>
    <t>CD – Logística Madeiras I</t>
  </si>
  <si>
    <t>Fisioterapia</t>
  </si>
  <si>
    <t>Acompanhamento familiar</t>
  </si>
  <si>
    <t>Conferente I</t>
  </si>
  <si>
    <t>OP Loja 1007 – Operacional Madeira</t>
  </si>
  <si>
    <t>Estudos</t>
  </si>
  <si>
    <t>Ginecologia/obstetricia</t>
  </si>
  <si>
    <t>Auxiliar produção</t>
  </si>
  <si>
    <t>Cd – Transporte/central soluções / wms</t>
  </si>
  <si>
    <t>Faturamento</t>
  </si>
  <si>
    <t>Pediatria</t>
  </si>
  <si>
    <t>Outros</t>
  </si>
  <si>
    <t>Atendente</t>
  </si>
  <si>
    <t>Financeiro</t>
  </si>
  <si>
    <t>Oftalmologia</t>
  </si>
  <si>
    <t>Separador</t>
  </si>
  <si>
    <t>Gestão de Risco</t>
  </si>
  <si>
    <t>Cirurgia geral</t>
  </si>
  <si>
    <t>Operador de empilhadeira II</t>
  </si>
  <si>
    <t>Gestão de Saúde</t>
  </si>
  <si>
    <t>Implantação</t>
  </si>
  <si>
    <t>Infra</t>
  </si>
  <si>
    <t>Logística</t>
  </si>
  <si>
    <t>Marketing</t>
  </si>
  <si>
    <t>Planejamento e Gestão</t>
  </si>
  <si>
    <t>Pós-Venda</t>
  </si>
  <si>
    <t>Pós-Venda / Relacionamento</t>
  </si>
  <si>
    <t>Processamento</t>
  </si>
  <si>
    <t>Qualidade de Vida</t>
  </si>
  <si>
    <t>Recursos Humanos</t>
  </si>
  <si>
    <t>Relacioamento</t>
  </si>
  <si>
    <t>Vida e Preferência</t>
  </si>
  <si>
    <t>RT</t>
  </si>
  <si>
    <t>A</t>
  </si>
  <si>
    <t>Ativo</t>
  </si>
  <si>
    <t>Cessado</t>
  </si>
  <si>
    <t>C</t>
  </si>
  <si>
    <t>Suspenso</t>
  </si>
  <si>
    <t>AN</t>
  </si>
  <si>
    <t>Análise</t>
  </si>
  <si>
    <t>descritivo</t>
  </si>
  <si>
    <t>Afastado</t>
  </si>
  <si>
    <t>Retorno ao Trabalho</t>
  </si>
  <si>
    <t>Benefício Previdenciário</t>
  </si>
  <si>
    <t>59285411001608 </t>
  </si>
  <si>
    <t>31 - Auxílio Por Incapacidade Temporária Previdenciária</t>
  </si>
  <si>
    <t>Cessação do benefício</t>
  </si>
  <si>
    <t xml:space="preserve">JOAO HENRIQUE DOS SANTOS </t>
  </si>
  <si>
    <t>Inativo</t>
  </si>
  <si>
    <t>F</t>
  </si>
  <si>
    <t>maria1@gmail.com</t>
  </si>
  <si>
    <t>12685155000198</t>
  </si>
  <si>
    <t>M</t>
  </si>
  <si>
    <t>Dev</t>
  </si>
  <si>
    <t>dev</t>
  </si>
  <si>
    <t>93017849000159</t>
  </si>
  <si>
    <t>Dev Teste</t>
  </si>
  <si>
    <t xml:space="preserve">Dev Teste </t>
  </si>
  <si>
    <t>joao1@gmail.com</t>
  </si>
  <si>
    <t>Maria Luc</t>
  </si>
  <si>
    <t>João teste 4</t>
  </si>
  <si>
    <t>Maria teste 3</t>
  </si>
  <si>
    <t>ANDRE PINO LOPES</t>
  </si>
  <si>
    <t>27799100893</t>
  </si>
  <si>
    <t>Gerente de Eng Software</t>
  </si>
  <si>
    <t>F43</t>
  </si>
  <si>
    <t>Consultor Comercial</t>
  </si>
  <si>
    <t>F411</t>
  </si>
  <si>
    <t>11983874841</t>
  </si>
  <si>
    <t>DECLARAÇÃO</t>
  </si>
  <si>
    <t>FISIOTERAPIA</t>
  </si>
  <si>
    <t>DR PAULO TELLES NUNES</t>
  </si>
  <si>
    <t>PLANO DE SAÚDE</t>
  </si>
  <si>
    <t>AFASTAMENTO POR HORA</t>
  </si>
  <si>
    <t>ATESTADO</t>
  </si>
  <si>
    <t>CONSULTA</t>
  </si>
  <si>
    <t>SÃO FRANCISCO SAUDE - HOSPITAL BAURU</t>
  </si>
  <si>
    <t>I821</t>
  </si>
  <si>
    <t>VASCULAR</t>
  </si>
  <si>
    <t>JULIANO GARCIA</t>
  </si>
  <si>
    <t>INTERNAÇÃO</t>
  </si>
  <si>
    <t>HOSPITAL UNIVERSITÁRIO SÃO FRANCISCO</t>
  </si>
  <si>
    <t>CLINICO GERAL</t>
  </si>
  <si>
    <t>Maria Teste</t>
  </si>
  <si>
    <t>50578102005</t>
  </si>
  <si>
    <t>MARIA TESTE</t>
  </si>
  <si>
    <t>JOAO TESTE</t>
  </si>
  <si>
    <t xml:space="preserve">INEXISTESTE TESTE </t>
  </si>
  <si>
    <t>Absenteísmo</t>
  </si>
  <si>
    <t>telefone1</t>
  </si>
  <si>
    <t>telefone2</t>
  </si>
  <si>
    <t>11963880938</t>
  </si>
  <si>
    <t>nome_fantasia</t>
  </si>
  <si>
    <t>inscricao_estadual</t>
  </si>
  <si>
    <t>inscricao_municipal</t>
  </si>
  <si>
    <t>numero_funcionarios</t>
  </si>
  <si>
    <t>descricao</t>
  </si>
  <si>
    <t>porte</t>
  </si>
  <si>
    <t>faturamento</t>
  </si>
  <si>
    <t>tipo</t>
  </si>
  <si>
    <t>endereco</t>
  </si>
  <si>
    <t>numero</t>
  </si>
  <si>
    <t>estado</t>
  </si>
  <si>
    <t>site</t>
  </si>
  <si>
    <t>token_tv</t>
  </si>
  <si>
    <t>cliente_id</t>
  </si>
  <si>
    <t>SA</t>
  </si>
  <si>
    <t>CNPJ</t>
  </si>
  <si>
    <t>Cria Beneficiário</t>
  </si>
  <si>
    <t>Cria Empresa</t>
  </si>
  <si>
    <t>Sexo</t>
  </si>
  <si>
    <t xml:space="preserve">13141755051	</t>
  </si>
  <si>
    <t>teste 2 (existe)</t>
  </si>
  <si>
    <t>jaexiste@gamil.com</t>
  </si>
  <si>
    <t>Beneficiario</t>
  </si>
  <si>
    <t>S</t>
  </si>
  <si>
    <t>41112840000123</t>
  </si>
  <si>
    <t>Benef. E empresa e beneficio prev</t>
  </si>
  <si>
    <t>Jonas</t>
  </si>
  <si>
    <t>50472591000178</t>
  </si>
  <si>
    <t>Flávio</t>
  </si>
  <si>
    <t>data_retorno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</si>
</sst>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u/>
      <sz val="11"/>
      <color theme="10"/>
      <name val="Calibri"/>
    </font>
    <font>
      <sz val="10"/>
      <color indexed="8"/>
      <name val="Calibri"/>
      <family val="2"/>
    </font>
    <font>
      <sz val="11"/>
      <color indexed="8"/>
      <name val="Tahoma"/>
      <family val="2"/>
    </font>
    <font>
      <sz val="10"/>
      <color indexed="8"/>
      <name val="Verdana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76"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0" borderId="1" xfId="0" applyFont="1" applyBorder="1" applyAlignment="1"/>
    <xf numFmtId="0" fontId="1" fillId="0" borderId="0" xfId="0" applyNumberFormat="1" applyFont="1" applyAlignment="1"/>
    <xf numFmtId="49" fontId="2" fillId="0" borderId="1" xfId="0" applyNumberFormat="1" applyFont="1" applyBorder="1" applyAlignment="1"/>
    <xf numFmtId="49" fontId="0" fillId="0" borderId="1" xfId="0" applyNumberFormat="1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3" borderId="2" xfId="0" applyFont="1" applyFill="1" applyBorder="1" applyAlignment="1"/>
    <xf numFmtId="0" fontId="5" fillId="0" borderId="0" xfId="0" applyFont="1" applyAlignment="1"/>
    <xf numFmtId="0" fontId="3" fillId="0" borderId="3" xfId="0" applyFont="1" applyBorder="1" applyAlignment="1"/>
    <xf numFmtId="0" fontId="6" fillId="0" borderId="4" xfId="0" applyFont="1" applyBorder="1" applyAlignment="1"/>
    <xf numFmtId="0" fontId="7" fillId="0" borderId="4" xfId="0" applyFont="1" applyBorder="1" applyAlignment="1">
      <alignment wrapText="1"/>
    </xf>
    <xf numFmtId="0" fontId="6" fillId="0" borderId="0" xfId="0" applyFont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0" fillId="5" borderId="1" xfId="0" applyFont="1" applyFill="1" applyBorder="1" applyAlignment="1"/>
    <xf numFmtId="14" fontId="0" fillId="0" borderId="1" xfId="0" applyNumberFormat="1" applyFont="1" applyBorder="1" applyAlignment="1"/>
    <xf numFmtId="0" fontId="2" fillId="0" borderId="1" xfId="0" applyNumberFormat="1" applyFont="1" applyBorder="1" applyAlignment="1"/>
    <xf numFmtId="0" fontId="9" fillId="0" borderId="1" xfId="1" applyBorder="1" applyAlignment="1"/>
    <xf numFmtId="0" fontId="0" fillId="0" borderId="0" xfId="0"/>
    <xf numFmtId="49" fontId="0" fillId="0" borderId="0" xfId="0" applyNumberFormat="1" applyFont="1" applyAlignment="1"/>
    <xf numFmtId="1" fontId="0" fillId="5" borderId="1" xfId="0" applyNumberFormat="1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0" fontId="0" fillId="5" borderId="1" xfId="0" applyNumberFormat="1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0" fillId="0" borderId="0" xfId="0" applyFill="1"/>
    <xf numFmtId="0" fontId="2" fillId="5" borderId="1" xfId="0" applyFont="1" applyFill="1" applyBorder="1"/>
    <xf numFmtId="0" fontId="2" fillId="0" borderId="1" xfId="0" applyFont="1" applyBorder="1"/>
    <xf numFmtId="14" fontId="0" fillId="0" borderId="1" xfId="0" applyNumberFormat="1" applyBorder="1"/>
    <xf numFmtId="0" fontId="0" fillId="0" borderId="0" xfId="0" applyNumberFormat="1"/>
    <xf numFmtId="49" fontId="2" fillId="0" borderId="1" xfId="0" applyNumberFormat="1" applyFont="1" applyBorder="1"/>
    <xf numFmtId="0" fontId="11" fillId="0" borderId="6" xfId="0" applyFont="1" applyBorder="1" applyAlignment="1">
      <alignment horizontal="right" vertical="top" wrapText="1"/>
    </xf>
    <xf numFmtId="0" fontId="11" fillId="0" borderId="6" xfId="0" applyFont="1" applyBorder="1" applyAlignment="1">
      <alignment vertical="top" wrapText="1"/>
    </xf>
    <xf numFmtId="49" fontId="11" fillId="0" borderId="6" xfId="0" applyNumberFormat="1" applyFont="1" applyBorder="1" applyAlignment="1">
      <alignment vertical="top" wrapText="1"/>
    </xf>
    <xf numFmtId="0" fontId="12" fillId="0" borderId="0" xfId="0" applyFont="1" applyAlignment="1"/>
    <xf numFmtId="0" fontId="12" fillId="0" borderId="7" xfId="0" applyFont="1" applyBorder="1" applyAlignment="1">
      <alignment horizontal="center" vertical="top" wrapText="1"/>
    </xf>
    <xf numFmtId="49" fontId="12" fillId="0" borderId="7" xfId="0" applyNumberFormat="1" applyFont="1" applyBorder="1" applyAlignment="1">
      <alignment horizontal="center" vertical="top" wrapText="1"/>
    </xf>
    <xf numFmtId="0" fontId="12" fillId="0" borderId="7" xfId="0" applyFont="1" applyBorder="1" applyAlignment="1">
      <alignment horizontal="right" vertical="top" wrapText="1"/>
    </xf>
    <xf numFmtId="0" fontId="12" fillId="6" borderId="8" xfId="0" applyFont="1" applyFill="1" applyBorder="1" applyAlignment="1">
      <alignment horizontal="right" vertical="top" wrapText="1"/>
    </xf>
    <xf numFmtId="49" fontId="0" fillId="4" borderId="1" xfId="0" applyNumberFormat="1" applyFont="1" applyFill="1" applyBorder="1" applyAlignment="1"/>
    <xf numFmtId="49" fontId="2" fillId="4" borderId="1" xfId="0" applyNumberFormat="1" applyFont="1" applyFill="1" applyBorder="1" applyAlignment="1"/>
    <xf numFmtId="0" fontId="13" fillId="0" borderId="0" xfId="0" applyNumberFormat="1" applyFont="1" applyFill="1" applyBorder="1" applyAlignment="1"/>
    <xf numFmtId="0" fontId="4" fillId="3" borderId="1" xfId="0" applyFont="1" applyFill="1" applyBorder="1" applyAlignment="1"/>
    <xf numFmtId="0" fontId="6" fillId="0" borderId="1" xfId="0" applyFont="1" applyFill="1" applyBorder="1" applyAlignment="1"/>
    <xf numFmtId="0" fontId="0" fillId="4" borderId="0" xfId="0" applyNumberForma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49" fontId="0" fillId="2" borderId="0" xfId="0" applyNumberForma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49" fontId="10" fillId="2" borderId="0" xfId="0" applyNumberFormat="1" applyFont="1" applyFill="1" applyBorder="1" applyAlignment="1">
      <alignment horizontal="left" wrapText="1"/>
    </xf>
    <xf numFmtId="14" fontId="0" fillId="2" borderId="0" xfId="0" applyNumberFormat="1" applyFill="1" applyBorder="1" applyAlignment="1">
      <alignment horizontal="left" wrapText="1"/>
    </xf>
    <xf numFmtId="0" fontId="0" fillId="2" borderId="0" xfId="0" applyNumberFormat="1" applyFill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14" fontId="6" fillId="0" borderId="0" xfId="0" applyNumberFormat="1" applyFont="1" applyBorder="1" applyAlignment="1">
      <alignment horizontal="left" wrapText="1"/>
    </xf>
    <xf numFmtId="14" fontId="0" fillId="0" borderId="0" xfId="0" applyNumberFormat="1" applyBorder="1" applyAlignment="1">
      <alignment horizontal="left"/>
    </xf>
    <xf numFmtId="0" fontId="5" fillId="0" borderId="5" xfId="0" applyFont="1" applyBorder="1" applyAlignment="1"/>
    <xf numFmtId="0" fontId="0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Fill="1" applyBorder="1"/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existe@gamil.com" TargetMode="External"/><Relationship Id="rId2" Type="http://schemas.openxmlformats.org/officeDocument/2006/relationships/hyperlink" Target="mailto:joao1@gmail.com" TargetMode="External"/><Relationship Id="rId1" Type="http://schemas.openxmlformats.org/officeDocument/2006/relationships/hyperlink" Target="mailto:maria1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showGridLines="0" topLeftCell="B1" zoomScale="90" zoomScaleNormal="90" workbookViewId="0">
      <selection activeCell="H27" sqref="H27"/>
    </sheetView>
  </sheetViews>
  <sheetFormatPr defaultColWidth="8.85546875" defaultRowHeight="15" customHeight="1" x14ac:dyDescent="0.25"/>
  <cols>
    <col min="1" max="1" width="23.7109375" style="3" customWidth="1"/>
    <col min="2" max="2" width="11.7109375" style="3" bestFit="1" customWidth="1"/>
    <col min="3" max="3" width="5" style="3" bestFit="1" customWidth="1"/>
    <col min="4" max="4" width="6.140625" style="3" bestFit="1" customWidth="1"/>
    <col min="5" max="6" width="9.28515625" style="3" bestFit="1" customWidth="1"/>
    <col min="7" max="7" width="14.42578125" style="1" bestFit="1" customWidth="1"/>
    <col min="8" max="8" width="13.28515625" style="1" bestFit="1" customWidth="1"/>
    <col min="9" max="9" width="16.28515625" style="1" customWidth="1"/>
    <col min="10" max="10" width="5.85546875" style="3" bestFit="1" customWidth="1"/>
    <col min="11" max="11" width="9.140625" style="1" bestFit="1" customWidth="1"/>
    <col min="12" max="12" width="9.28515625" style="1" bestFit="1" customWidth="1"/>
    <col min="13" max="13" width="29.140625" style="1" bestFit="1" customWidth="1"/>
    <col min="14" max="14" width="45.5703125" style="1" bestFit="1" customWidth="1"/>
    <col min="15" max="15" width="17.7109375" style="1" bestFit="1" customWidth="1"/>
    <col min="16" max="16" width="2.7109375" style="1" bestFit="1" customWidth="1"/>
    <col min="17" max="17" width="11.5703125" style="1" bestFit="1" customWidth="1"/>
    <col min="18" max="18" width="5.140625" style="1" bestFit="1" customWidth="1"/>
    <col min="19" max="19" width="18.5703125" style="1" bestFit="1" customWidth="1"/>
    <col min="20" max="20" width="13.28515625" style="1" bestFit="1" customWidth="1"/>
    <col min="21" max="22" width="13.28515625" style="3" customWidth="1"/>
    <col min="23" max="23" width="9.5703125" style="1" bestFit="1" customWidth="1"/>
    <col min="24" max="24" width="8.85546875" style="1" customWidth="1"/>
    <col min="25" max="16384" width="8.85546875" style="1"/>
  </cols>
  <sheetData>
    <row r="1" spans="1:23" ht="13.5" customHeight="1" x14ac:dyDescent="0.25">
      <c r="A1" s="5" t="s">
        <v>15</v>
      </c>
      <c r="B1" s="5" t="s">
        <v>16</v>
      </c>
      <c r="C1" s="5" t="s">
        <v>17</v>
      </c>
      <c r="D1" s="5" t="s">
        <v>46</v>
      </c>
      <c r="E1" s="5" t="s">
        <v>47</v>
      </c>
      <c r="F1" s="5" t="s">
        <v>48</v>
      </c>
      <c r="G1" s="4" t="s">
        <v>0</v>
      </c>
      <c r="H1" s="4" t="s">
        <v>1</v>
      </c>
      <c r="I1" s="4" t="s">
        <v>2</v>
      </c>
      <c r="J1" s="4" t="s">
        <v>49</v>
      </c>
      <c r="K1" s="4" t="s">
        <v>8</v>
      </c>
      <c r="L1" s="4" t="s">
        <v>9</v>
      </c>
      <c r="M1" s="4" t="s">
        <v>10</v>
      </c>
      <c r="N1" s="8" t="s">
        <v>11</v>
      </c>
      <c r="O1" s="8" t="s">
        <v>50</v>
      </c>
      <c r="P1" s="8" t="s">
        <v>12</v>
      </c>
      <c r="Q1" s="8" t="s">
        <v>13</v>
      </c>
      <c r="R1" s="8" t="s">
        <v>7</v>
      </c>
      <c r="S1" s="8" t="s">
        <v>14</v>
      </c>
      <c r="T1" s="8" t="s">
        <v>6</v>
      </c>
      <c r="U1" s="8" t="s">
        <v>194</v>
      </c>
      <c r="V1" s="8" t="s">
        <v>195</v>
      </c>
      <c r="W1" s="8" t="s">
        <v>36</v>
      </c>
    </row>
    <row r="2" spans="1:23" ht="13.5" customHeight="1" x14ac:dyDescent="0.25">
      <c r="A2" s="8" t="s">
        <v>156</v>
      </c>
      <c r="B2" s="22" t="s">
        <v>158</v>
      </c>
      <c r="C2" s="22" t="s">
        <v>159</v>
      </c>
      <c r="D2" s="5"/>
      <c r="E2" s="5"/>
      <c r="F2" s="5">
        <v>212121</v>
      </c>
      <c r="G2" s="10" t="s">
        <v>166</v>
      </c>
      <c r="H2" s="6">
        <v>50578102005</v>
      </c>
      <c r="I2" s="21">
        <v>30631</v>
      </c>
      <c r="J2" s="6"/>
      <c r="K2" s="6"/>
      <c r="L2" s="6"/>
      <c r="M2" s="6"/>
      <c r="N2" s="6"/>
      <c r="O2" s="6"/>
      <c r="P2" s="6"/>
      <c r="Q2" s="6"/>
      <c r="R2" s="10" t="s">
        <v>154</v>
      </c>
      <c r="S2" s="23" t="s">
        <v>155</v>
      </c>
      <c r="T2" s="6">
        <v>11968680101</v>
      </c>
      <c r="U2" s="6">
        <v>11968680101</v>
      </c>
      <c r="V2" s="6">
        <v>11968680101</v>
      </c>
      <c r="W2" s="10" t="s">
        <v>139</v>
      </c>
    </row>
    <row r="3" spans="1:23" ht="13.5" customHeight="1" x14ac:dyDescent="0.25">
      <c r="A3" s="4" t="s">
        <v>160</v>
      </c>
      <c r="B3" s="22" t="s">
        <v>161</v>
      </c>
      <c r="C3" s="22" t="s">
        <v>162</v>
      </c>
      <c r="D3" s="5"/>
      <c r="E3" s="5"/>
      <c r="F3" s="5">
        <v>222222</v>
      </c>
      <c r="G3" s="10" t="s">
        <v>165</v>
      </c>
      <c r="H3" s="6">
        <v>48006131082</v>
      </c>
      <c r="I3" s="21">
        <v>36637</v>
      </c>
      <c r="J3" s="6"/>
      <c r="K3" s="6"/>
      <c r="L3" s="6"/>
      <c r="M3" s="6"/>
      <c r="N3" s="6"/>
      <c r="O3" s="6"/>
      <c r="P3" s="6"/>
      <c r="Q3" s="6"/>
      <c r="R3" s="10" t="s">
        <v>157</v>
      </c>
      <c r="S3" s="23" t="s">
        <v>163</v>
      </c>
      <c r="T3" s="6">
        <v>11966884455</v>
      </c>
      <c r="U3" s="6">
        <v>11966884455</v>
      </c>
      <c r="V3" s="6">
        <v>11966884455</v>
      </c>
      <c r="W3" s="10" t="s">
        <v>153</v>
      </c>
    </row>
    <row r="4" spans="1:23" ht="13.5" customHeight="1" x14ac:dyDescent="0.25">
      <c r="A4" s="8" t="s">
        <v>156</v>
      </c>
      <c r="B4" s="22" t="s">
        <v>158</v>
      </c>
      <c r="C4" s="22" t="s">
        <v>158</v>
      </c>
      <c r="D4" s="5"/>
      <c r="E4" s="5"/>
      <c r="F4" s="5">
        <v>10101</v>
      </c>
      <c r="G4" s="6" t="s">
        <v>217</v>
      </c>
      <c r="H4" s="6" t="s">
        <v>216</v>
      </c>
      <c r="I4" s="21">
        <v>36667</v>
      </c>
      <c r="J4" s="6"/>
      <c r="K4" s="6"/>
      <c r="L4" s="6"/>
      <c r="M4" s="6"/>
      <c r="N4" s="6"/>
      <c r="O4" s="6"/>
      <c r="P4" s="6"/>
      <c r="Q4" s="6"/>
      <c r="R4" s="6" t="s">
        <v>157</v>
      </c>
      <c r="S4" s="23" t="s">
        <v>218</v>
      </c>
      <c r="T4" s="6">
        <v>11988848488</v>
      </c>
      <c r="U4" s="6">
        <v>11988848488</v>
      </c>
      <c r="V4" s="6">
        <v>11988848488</v>
      </c>
      <c r="W4" s="6" t="s">
        <v>139</v>
      </c>
    </row>
    <row r="5" spans="1:23" ht="13.5" customHeight="1" x14ac:dyDescent="0.25">
      <c r="A5" s="5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3.5" customHeight="1" x14ac:dyDescent="0.25">
      <c r="A6" s="5"/>
      <c r="B6" s="5"/>
      <c r="C6" s="5"/>
      <c r="D6" s="5"/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3.5" customHeight="1" x14ac:dyDescent="0.25">
      <c r="A7" s="5"/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3.5" customHeight="1" x14ac:dyDescent="0.25">
      <c r="A8" s="5"/>
      <c r="B8" s="5"/>
      <c r="C8" s="5"/>
      <c r="D8" s="5"/>
      <c r="E8" s="5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3.5" customHeight="1" x14ac:dyDescent="0.25">
      <c r="A9" s="5"/>
      <c r="B9" s="5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3.5" customHeight="1" x14ac:dyDescent="0.25">
      <c r="A10" s="5"/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9" spans="1:1" ht="15" customHeight="1" x14ac:dyDescent="0.25">
      <c r="A19" s="54"/>
    </row>
    <row r="20" spans="1:1" ht="15" customHeight="1" x14ac:dyDescent="0.25">
      <c r="A20" s="54" t="s">
        <v>214</v>
      </c>
    </row>
  </sheetData>
  <hyperlinks>
    <hyperlink ref="S2" r:id="rId1" xr:uid="{20677838-A322-4E94-9C87-7CC542B80BA4}"/>
    <hyperlink ref="S3" r:id="rId2" xr:uid="{5A4AED67-25ED-436D-8241-E950FE20471F}"/>
    <hyperlink ref="S4" r:id="rId3" xr:uid="{36AAD102-DB71-4F32-AA22-9FA59D91AFFB}"/>
  </hyperlinks>
  <pageMargins left="0.7" right="0.7" top="0.75" bottom="0.75" header="0.3" footer="0.3"/>
  <pageSetup orientation="portrait" r:id="rId4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showGridLines="0" workbookViewId="0">
      <selection activeCell="E17" sqref="E17"/>
    </sheetView>
  </sheetViews>
  <sheetFormatPr defaultColWidth="8.85546875" defaultRowHeight="15" customHeight="1" x14ac:dyDescent="0.25"/>
  <cols>
    <col min="1" max="1" width="34.28515625" style="2" customWidth="1"/>
    <col min="2" max="2" width="34.28515625" style="3" customWidth="1"/>
    <col min="3" max="3" width="12.140625" style="2" customWidth="1"/>
    <col min="4" max="4" width="15.28515625" style="25" customWidth="1"/>
    <col min="5" max="5" width="16.28515625" style="2" customWidth="1"/>
    <col min="6" max="6" width="11" style="2" customWidth="1"/>
    <col min="7" max="7" width="21.5703125" style="2" bestFit="1" customWidth="1"/>
    <col min="8" max="8" width="23.42578125" style="2" customWidth="1"/>
    <col min="9" max="9" width="17.28515625" style="2" customWidth="1"/>
    <col min="10" max="10" width="8.85546875" style="2" customWidth="1"/>
    <col min="11" max="11" width="16.85546875" style="2" customWidth="1"/>
    <col min="12" max="12" width="18.28515625" style="2" customWidth="1"/>
    <col min="13" max="13" width="19.85546875" style="2" customWidth="1"/>
    <col min="14" max="14" width="10.7109375" style="2" customWidth="1"/>
    <col min="15" max="16" width="8.85546875" style="2" customWidth="1"/>
    <col min="17" max="17" width="13.42578125" style="2" customWidth="1"/>
    <col min="18" max="21" width="8.85546875" style="2" customWidth="1"/>
    <col min="22" max="24" width="17.42578125" style="25" customWidth="1"/>
    <col min="25" max="25" width="8.85546875" style="2" customWidth="1"/>
    <col min="26" max="16384" width="8.85546875" style="2"/>
  </cols>
  <sheetData>
    <row r="1" spans="1:25" ht="13.5" customHeight="1" x14ac:dyDescent="0.25">
      <c r="A1" s="52" t="s">
        <v>18</v>
      </c>
      <c r="B1" s="53" t="s">
        <v>212</v>
      </c>
      <c r="C1" s="4" t="s">
        <v>19</v>
      </c>
      <c r="D1" s="52" t="s">
        <v>1</v>
      </c>
      <c r="E1" s="52" t="s">
        <v>2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</v>
      </c>
      <c r="S1" s="4" t="s">
        <v>5</v>
      </c>
      <c r="T1" s="4" t="s">
        <v>32</v>
      </c>
      <c r="U1" s="4" t="s">
        <v>4</v>
      </c>
      <c r="V1" s="4" t="s">
        <v>6</v>
      </c>
      <c r="W1" s="4" t="s">
        <v>194</v>
      </c>
      <c r="X1" s="4" t="s">
        <v>195</v>
      </c>
      <c r="Y1" s="9" t="s">
        <v>36</v>
      </c>
    </row>
    <row r="2" spans="1:25" ht="13.7" customHeight="1" x14ac:dyDescent="0.25">
      <c r="A2" s="8" t="s">
        <v>165</v>
      </c>
      <c r="B2" s="8"/>
      <c r="C2" s="5">
        <v>2545854</v>
      </c>
      <c r="D2" s="4">
        <v>48006131082</v>
      </c>
      <c r="E2" s="21">
        <v>36637</v>
      </c>
      <c r="F2" s="10" t="s">
        <v>164</v>
      </c>
      <c r="G2" s="4"/>
      <c r="H2" s="4"/>
      <c r="I2" s="6"/>
      <c r="J2" s="4"/>
      <c r="K2" s="4"/>
      <c r="L2" s="6"/>
      <c r="M2" s="6"/>
      <c r="N2" s="6"/>
      <c r="O2" s="4"/>
      <c r="P2" s="5"/>
      <c r="Q2" s="6"/>
      <c r="R2" s="4"/>
      <c r="S2" s="4"/>
      <c r="T2" s="6"/>
      <c r="U2" s="5"/>
      <c r="V2" s="4" t="s">
        <v>196</v>
      </c>
      <c r="W2" s="4" t="s">
        <v>196</v>
      </c>
      <c r="X2" s="4" t="s">
        <v>196</v>
      </c>
      <c r="Y2" s="22" t="s">
        <v>138</v>
      </c>
    </row>
    <row r="3" spans="1:25" ht="15" customHeight="1" x14ac:dyDescent="0.25">
      <c r="A3" s="28" t="s">
        <v>167</v>
      </c>
      <c r="B3" s="28"/>
      <c r="C3" s="28"/>
      <c r="D3" s="27" t="s">
        <v>168</v>
      </c>
      <c r="E3" s="41">
        <v>29387</v>
      </c>
      <c r="F3" s="28"/>
      <c r="G3" s="28" t="s">
        <v>169</v>
      </c>
      <c r="H3" s="41">
        <v>44586</v>
      </c>
      <c r="I3" s="28"/>
      <c r="J3" s="28" t="s">
        <v>170</v>
      </c>
      <c r="K3" s="28">
        <v>31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7">
        <v>11993810020</v>
      </c>
      <c r="W3" s="27">
        <v>11993810020</v>
      </c>
      <c r="X3" s="27">
        <v>11993810020</v>
      </c>
      <c r="Y3" s="28" t="s">
        <v>138</v>
      </c>
    </row>
    <row r="4" spans="1:25" ht="13.7" customHeight="1" x14ac:dyDescent="0.25">
      <c r="A4" s="40" t="s">
        <v>188</v>
      </c>
      <c r="B4" s="40"/>
      <c r="C4" s="28"/>
      <c r="D4" s="4">
        <v>50578102005</v>
      </c>
      <c r="E4" s="41">
        <v>32033</v>
      </c>
      <c r="F4" s="28"/>
      <c r="G4" s="28" t="s">
        <v>171</v>
      </c>
      <c r="H4" s="41">
        <v>44656</v>
      </c>
      <c r="I4" s="28"/>
      <c r="J4" s="28" t="s">
        <v>172</v>
      </c>
      <c r="K4" s="28">
        <v>91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43" t="s">
        <v>173</v>
      </c>
      <c r="W4" s="43" t="s">
        <v>173</v>
      </c>
      <c r="X4" s="43" t="s">
        <v>173</v>
      </c>
      <c r="Y4" s="28" t="s">
        <v>138</v>
      </c>
    </row>
    <row r="7" spans="1:25" ht="15" customHeight="1" x14ac:dyDescent="0.25">
      <c r="A7" s="54" t="s">
        <v>213</v>
      </c>
    </row>
    <row r="8" spans="1:25" ht="15" customHeight="1" x14ac:dyDescent="0.25">
      <c r="A8" s="54" t="s">
        <v>214</v>
      </c>
    </row>
    <row r="26" spans="17:17" ht="15" customHeight="1" x14ac:dyDescent="0.25">
      <c r="Q26" s="7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ignoredErrors>
    <ignoredError sqref="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AB7D-C397-440B-8493-EE6F40F949A7}">
  <dimension ref="A1:Q11"/>
  <sheetViews>
    <sheetView showGridLines="0" workbookViewId="0">
      <selection activeCell="A2" sqref="A2:XFD5"/>
    </sheetView>
  </sheetViews>
  <sheetFormatPr defaultColWidth="8.85546875" defaultRowHeight="15" customHeight="1" x14ac:dyDescent="0.25"/>
  <cols>
    <col min="1" max="1" width="12" style="42" bestFit="1" customWidth="1"/>
    <col min="2" max="2" width="15" style="42" customWidth="1"/>
    <col min="3" max="3" width="11" style="42" bestFit="1" customWidth="1"/>
    <col min="4" max="4" width="28.42578125" style="42" customWidth="1"/>
    <col min="5" max="5" width="14" style="42" customWidth="1"/>
    <col min="6" max="6" width="13.28515625" style="42" customWidth="1"/>
    <col min="7" max="7" width="46.42578125" style="42" customWidth="1"/>
    <col min="8" max="8" width="10.7109375" style="42" bestFit="1" customWidth="1"/>
    <col min="9" max="9" width="26.7109375" style="42" customWidth="1"/>
    <col min="10" max="10" width="10.7109375" style="42" customWidth="1"/>
    <col min="11" max="11" width="14.42578125" style="42" customWidth="1"/>
    <col min="12" max="12" width="22.140625" style="42" customWidth="1"/>
    <col min="13" max="13" width="24.42578125" style="42" customWidth="1"/>
    <col min="14" max="14" width="11.140625" style="42" customWidth="1"/>
    <col min="15" max="15" width="19.140625" style="42" customWidth="1"/>
    <col min="16" max="16" width="13.7109375" style="42" customWidth="1"/>
    <col min="17" max="17" width="12.85546875" style="42" customWidth="1"/>
    <col min="18" max="16384" width="8.85546875" style="42"/>
  </cols>
  <sheetData>
    <row r="1" spans="1:17" s="60" customFormat="1" ht="13.5" customHeight="1" x14ac:dyDescent="0.25">
      <c r="A1" s="57" t="s">
        <v>1</v>
      </c>
      <c r="B1" s="58" t="s">
        <v>15</v>
      </c>
      <c r="C1" s="59" t="s">
        <v>33</v>
      </c>
      <c r="D1" s="58" t="s">
        <v>0</v>
      </c>
      <c r="E1" s="58" t="s">
        <v>2</v>
      </c>
      <c r="F1" s="59" t="s">
        <v>34</v>
      </c>
      <c r="G1" s="59" t="s">
        <v>35</v>
      </c>
      <c r="H1" s="58" t="s">
        <v>36</v>
      </c>
      <c r="I1" s="59" t="s">
        <v>37</v>
      </c>
      <c r="J1" s="59" t="s">
        <v>38</v>
      </c>
      <c r="K1" s="59" t="s">
        <v>39</v>
      </c>
      <c r="L1" s="59" t="s">
        <v>40</v>
      </c>
      <c r="M1" s="59" t="s">
        <v>41</v>
      </c>
      <c r="N1" s="59" t="s">
        <v>42</v>
      </c>
      <c r="O1" s="59" t="s">
        <v>43</v>
      </c>
      <c r="P1" s="59" t="s">
        <v>44</v>
      </c>
      <c r="Q1" s="59" t="s">
        <v>45</v>
      </c>
    </row>
    <row r="2" spans="1:17" s="60" customFormat="1" ht="13.7" customHeight="1" x14ac:dyDescent="0.25">
      <c r="A2" s="60">
        <v>42526373417</v>
      </c>
      <c r="B2" s="61" t="s">
        <v>221</v>
      </c>
      <c r="C2" s="62"/>
      <c r="D2" s="63" t="s">
        <v>222</v>
      </c>
      <c r="E2" s="64">
        <v>30631</v>
      </c>
      <c r="F2" s="65"/>
      <c r="G2" s="66" t="s">
        <v>150</v>
      </c>
      <c r="H2" s="61" t="s">
        <v>143</v>
      </c>
      <c r="I2" s="64"/>
      <c r="J2" s="64"/>
      <c r="K2" s="64"/>
      <c r="L2" s="64"/>
      <c r="M2" s="61"/>
      <c r="N2" s="64"/>
      <c r="O2" s="67"/>
      <c r="P2" s="64"/>
      <c r="Q2" s="62"/>
    </row>
    <row r="3" spans="1:17" s="60" customFormat="1" ht="15" customHeight="1" x14ac:dyDescent="0.25">
      <c r="A3" s="66">
        <v>48006131082</v>
      </c>
      <c r="B3" s="66" t="s">
        <v>149</v>
      </c>
      <c r="C3" s="68">
        <v>6406960800</v>
      </c>
      <c r="D3" s="69" t="s">
        <v>152</v>
      </c>
      <c r="E3" s="70">
        <v>31314</v>
      </c>
      <c r="F3" s="66">
        <v>13151619850</v>
      </c>
      <c r="G3" s="66" t="s">
        <v>150</v>
      </c>
      <c r="H3" s="66" t="s">
        <v>141</v>
      </c>
      <c r="I3" s="70">
        <v>44820</v>
      </c>
      <c r="J3" s="70">
        <v>44825</v>
      </c>
      <c r="K3" s="70">
        <v>44857</v>
      </c>
      <c r="L3" s="70">
        <v>44847</v>
      </c>
      <c r="M3" s="66" t="s">
        <v>151</v>
      </c>
      <c r="N3" s="70">
        <v>44847</v>
      </c>
      <c r="O3" s="70">
        <v>44847</v>
      </c>
      <c r="P3" s="68"/>
      <c r="Q3" s="68"/>
    </row>
    <row r="4" spans="1:17" s="60" customFormat="1" ht="13.7" customHeight="1" x14ac:dyDescent="0.25">
      <c r="A4" s="60">
        <v>21046563467</v>
      </c>
      <c r="B4" s="61" t="s">
        <v>221</v>
      </c>
      <c r="C4" s="62"/>
      <c r="D4" s="63" t="s">
        <v>223</v>
      </c>
      <c r="E4" s="64">
        <v>36641</v>
      </c>
      <c r="F4" s="65"/>
      <c r="G4" s="66" t="s">
        <v>150</v>
      </c>
      <c r="H4" s="61" t="s">
        <v>138</v>
      </c>
      <c r="I4" s="71">
        <v>44886</v>
      </c>
      <c r="J4" s="71">
        <v>44886</v>
      </c>
      <c r="K4" s="71">
        <v>44886</v>
      </c>
      <c r="L4" s="64"/>
      <c r="M4" s="61"/>
      <c r="N4" s="71">
        <v>44886</v>
      </c>
      <c r="O4" s="67"/>
      <c r="P4" s="64"/>
      <c r="Q4" s="62">
        <v>23332</v>
      </c>
    </row>
    <row r="5" spans="1:17" s="60" customFormat="1" ht="13.7" customHeight="1" x14ac:dyDescent="0.25">
      <c r="A5" s="60">
        <v>21046563467</v>
      </c>
      <c r="B5" s="61" t="s">
        <v>224</v>
      </c>
      <c r="C5" s="62"/>
      <c r="D5" s="63" t="s">
        <v>225</v>
      </c>
      <c r="E5" s="64">
        <v>29371</v>
      </c>
      <c r="F5" s="65"/>
      <c r="G5" s="66" t="s">
        <v>150</v>
      </c>
      <c r="H5" s="61" t="s">
        <v>138</v>
      </c>
      <c r="I5" s="71">
        <v>44886</v>
      </c>
      <c r="J5" s="71">
        <v>44886</v>
      </c>
      <c r="K5" s="71">
        <v>44886</v>
      </c>
      <c r="L5" s="64"/>
      <c r="M5" s="61"/>
      <c r="N5" s="71">
        <v>44886</v>
      </c>
      <c r="O5" s="67"/>
      <c r="P5" s="64"/>
      <c r="Q5" s="62"/>
    </row>
    <row r="10" spans="1:17" ht="15" customHeight="1" x14ac:dyDescent="0.25">
      <c r="A10" s="54" t="s">
        <v>213</v>
      </c>
    </row>
    <row r="11" spans="1:17" ht="15" customHeight="1" x14ac:dyDescent="0.25">
      <c r="A11" s="54" t="s">
        <v>214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3BC-4E7E-42AA-B68D-8B8E2866FCBA}">
  <dimension ref="A1:Q10"/>
  <sheetViews>
    <sheetView tabSelected="1" topLeftCell="E1" workbookViewId="0">
      <selection activeCell="F10" sqref="F10"/>
    </sheetView>
  </sheetViews>
  <sheetFormatPr defaultColWidth="4.5703125" defaultRowHeight="15" x14ac:dyDescent="0.25"/>
  <cols>
    <col min="1" max="1" width="13.28515625" style="24" customWidth="1"/>
    <col min="2" max="2" width="12" style="24" customWidth="1"/>
    <col min="3" max="3" width="17.7109375" style="24" customWidth="1"/>
    <col min="4" max="4" width="29.140625" style="24" bestFit="1" customWidth="1"/>
    <col min="5" max="5" width="61.28515625" style="24" bestFit="1" customWidth="1"/>
    <col min="6" max="6" width="49.5703125" style="24" bestFit="1" customWidth="1"/>
    <col min="7" max="8" width="12.5703125" style="24" customWidth="1"/>
    <col min="9" max="9" width="18.7109375" style="24" bestFit="1" customWidth="1"/>
    <col min="10" max="10" width="10.5703125" style="24" bestFit="1" customWidth="1"/>
    <col min="11" max="11" width="12.7109375" style="24" bestFit="1" customWidth="1"/>
    <col min="12" max="12" width="8.28515625" style="24" customWidth="1"/>
    <col min="13" max="13" width="16.140625" style="24" bestFit="1" customWidth="1"/>
    <col min="14" max="14" width="16.28515625" style="24" bestFit="1" customWidth="1"/>
    <col min="15" max="15" width="53.5703125" style="24" bestFit="1" customWidth="1"/>
    <col min="16" max="16" width="11.140625" style="24" customWidth="1"/>
    <col min="17" max="17" width="32.5703125" style="24" bestFit="1" customWidth="1"/>
    <col min="18" max="16384" width="4.5703125" style="24"/>
  </cols>
  <sheetData>
    <row r="1" spans="1:17" s="38" customFormat="1" x14ac:dyDescent="0.25">
      <c r="A1" s="36" t="s">
        <v>48</v>
      </c>
      <c r="B1" s="36" t="s">
        <v>1</v>
      </c>
      <c r="C1" s="37" t="s">
        <v>51</v>
      </c>
      <c r="D1" s="37" t="s">
        <v>52</v>
      </c>
      <c r="E1" s="36" t="s">
        <v>53</v>
      </c>
      <c r="F1" s="36" t="s">
        <v>18</v>
      </c>
      <c r="G1" s="36" t="s">
        <v>54</v>
      </c>
      <c r="H1" s="75" t="s">
        <v>226</v>
      </c>
      <c r="I1" s="36" t="s">
        <v>55</v>
      </c>
      <c r="J1" s="36" t="s">
        <v>56</v>
      </c>
      <c r="K1" s="36" t="s">
        <v>57</v>
      </c>
      <c r="L1" s="36" t="s">
        <v>24</v>
      </c>
      <c r="M1" s="37" t="s">
        <v>58</v>
      </c>
      <c r="N1" s="37" t="s">
        <v>59</v>
      </c>
      <c r="O1" s="36" t="s">
        <v>60</v>
      </c>
      <c r="P1" s="36" t="s">
        <v>61</v>
      </c>
      <c r="Q1" s="37" t="s">
        <v>62</v>
      </c>
    </row>
    <row r="2" spans="1:17" x14ac:dyDescent="0.25">
      <c r="A2" s="26">
        <v>10203398</v>
      </c>
      <c r="B2" s="27" t="s">
        <v>189</v>
      </c>
      <c r="C2" s="28" t="s">
        <v>174</v>
      </c>
      <c r="D2" s="29" t="s">
        <v>175</v>
      </c>
      <c r="E2" s="29" t="s">
        <v>176</v>
      </c>
      <c r="F2" s="29" t="s">
        <v>190</v>
      </c>
      <c r="G2" s="29"/>
      <c r="H2" s="29"/>
      <c r="I2" s="30"/>
      <c r="J2" s="31">
        <v>0.66666666666666663</v>
      </c>
      <c r="K2" s="32">
        <v>0.70833333333333337</v>
      </c>
      <c r="L2" s="29"/>
      <c r="M2" s="29" t="s">
        <v>175</v>
      </c>
      <c r="N2" s="29" t="s">
        <v>177</v>
      </c>
      <c r="O2" s="29"/>
      <c r="P2" s="29"/>
      <c r="Q2" s="29" t="s">
        <v>178</v>
      </c>
    </row>
    <row r="3" spans="1:17" x14ac:dyDescent="0.25">
      <c r="A3" s="26">
        <v>19803404</v>
      </c>
      <c r="B3" s="6">
        <v>48006131082</v>
      </c>
      <c r="C3" s="28" t="s">
        <v>179</v>
      </c>
      <c r="D3" s="33" t="s">
        <v>180</v>
      </c>
      <c r="E3" s="29" t="s">
        <v>181</v>
      </c>
      <c r="F3" s="39" t="s">
        <v>191</v>
      </c>
      <c r="G3" s="29"/>
      <c r="H3" s="29"/>
      <c r="I3" s="30">
        <v>7</v>
      </c>
      <c r="J3" s="31"/>
      <c r="K3" s="32"/>
      <c r="L3" s="29" t="s">
        <v>182</v>
      </c>
      <c r="M3" s="29" t="s">
        <v>183</v>
      </c>
      <c r="N3" s="29" t="s">
        <v>177</v>
      </c>
      <c r="O3" s="29" t="s">
        <v>184</v>
      </c>
      <c r="P3" s="29">
        <v>176937</v>
      </c>
      <c r="Q3" s="34" t="s">
        <v>85</v>
      </c>
    </row>
    <row r="4" spans="1:17" x14ac:dyDescent="0.25">
      <c r="A4" s="26">
        <v>11301026</v>
      </c>
      <c r="B4" s="28">
        <v>86089061042</v>
      </c>
      <c r="C4" s="28" t="s">
        <v>179</v>
      </c>
      <c r="D4" s="28" t="s">
        <v>185</v>
      </c>
      <c r="E4" s="28" t="s">
        <v>186</v>
      </c>
      <c r="F4" s="40" t="s">
        <v>192</v>
      </c>
      <c r="G4" s="28"/>
      <c r="H4" s="28"/>
      <c r="I4" s="35">
        <v>2</v>
      </c>
      <c r="J4" s="31"/>
      <c r="K4" s="32"/>
      <c r="L4" s="28"/>
      <c r="M4" s="34" t="s">
        <v>187</v>
      </c>
      <c r="N4" s="28" t="s">
        <v>177</v>
      </c>
      <c r="O4" s="28"/>
      <c r="P4" s="28"/>
      <c r="Q4" s="34" t="s">
        <v>77</v>
      </c>
    </row>
    <row r="10" spans="1:17" x14ac:dyDescent="0.25">
      <c r="P10" s="24" t="e" cm="1">
        <f t="array" ref="P10">+F10B10:P10A1I10:P10</f>
        <v>#NAME?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77CB-7B1B-44DE-A984-F0E1F16F2519}">
  <dimension ref="A1:W2"/>
  <sheetViews>
    <sheetView zoomScale="85" zoomScaleNormal="85" workbookViewId="0">
      <selection activeCell="O24" sqref="O24"/>
    </sheetView>
  </sheetViews>
  <sheetFormatPr defaultRowHeight="15" x14ac:dyDescent="0.25"/>
  <cols>
    <col min="1" max="1" width="6.28515625" bestFit="1" customWidth="1"/>
    <col min="2" max="3" width="8.28515625" bestFit="1" customWidth="1"/>
    <col min="4" max="4" width="16.7109375" style="25" bestFit="1" customWidth="1"/>
    <col min="5" max="5" width="8.5703125" bestFit="1" customWidth="1"/>
    <col min="6" max="7" width="8.28515625" bestFit="1" customWidth="1"/>
    <col min="8" max="8" width="8.7109375" bestFit="1" customWidth="1"/>
    <col min="9" max="9" width="6" bestFit="1" customWidth="1"/>
    <col min="10" max="10" width="8.5703125" bestFit="1" customWidth="1"/>
    <col min="11" max="11" width="4.7109375" bestFit="1" customWidth="1"/>
    <col min="12" max="12" width="8.5703125" bestFit="1" customWidth="1"/>
    <col min="13" max="13" width="8.28515625" bestFit="1" customWidth="1"/>
    <col min="14" max="14" width="7.85546875" bestFit="1" customWidth="1"/>
    <col min="15" max="15" width="6.5703125" bestFit="1" customWidth="1"/>
    <col min="16" max="17" width="7.28515625" bestFit="1" customWidth="1"/>
    <col min="18" max="18" width="4.28515625" bestFit="1" customWidth="1"/>
    <col min="19" max="19" width="8.7109375" bestFit="1" customWidth="1"/>
    <col min="20" max="20" width="6.28515625" bestFit="1" customWidth="1"/>
    <col min="21" max="21" width="4.42578125" bestFit="1" customWidth="1"/>
    <col min="22" max="22" width="8.28515625" bestFit="1" customWidth="1"/>
    <col min="23" max="23" width="15.140625" customWidth="1"/>
  </cols>
  <sheetData>
    <row r="1" spans="1:23" s="47" customFormat="1" ht="39" thickBot="1" x14ac:dyDescent="0.25">
      <c r="A1" s="48" t="s">
        <v>0</v>
      </c>
      <c r="B1" s="48" t="s">
        <v>16</v>
      </c>
      <c r="C1" s="48" t="s">
        <v>197</v>
      </c>
      <c r="D1" s="49" t="s">
        <v>15</v>
      </c>
      <c r="E1" s="48" t="s">
        <v>198</v>
      </c>
      <c r="F1" s="48" t="s">
        <v>199</v>
      </c>
      <c r="G1" s="50" t="s">
        <v>200</v>
      </c>
      <c r="H1" s="48" t="s">
        <v>201</v>
      </c>
      <c r="I1" s="48" t="s">
        <v>202</v>
      </c>
      <c r="J1" s="48" t="s">
        <v>203</v>
      </c>
      <c r="K1" s="48" t="s">
        <v>204</v>
      </c>
      <c r="L1" s="48" t="s">
        <v>205</v>
      </c>
      <c r="M1" s="48" t="s">
        <v>206</v>
      </c>
      <c r="N1" s="48" t="s">
        <v>31</v>
      </c>
      <c r="O1" s="48" t="s">
        <v>3</v>
      </c>
      <c r="P1" s="48" t="s">
        <v>5</v>
      </c>
      <c r="Q1" s="48" t="s">
        <v>207</v>
      </c>
      <c r="R1" s="48" t="s">
        <v>4</v>
      </c>
      <c r="S1" s="48" t="s">
        <v>6</v>
      </c>
      <c r="T1" s="48" t="s">
        <v>14</v>
      </c>
      <c r="U1" s="48" t="s">
        <v>208</v>
      </c>
      <c r="V1" s="48" t="s">
        <v>209</v>
      </c>
      <c r="W1" s="51" t="s">
        <v>210</v>
      </c>
    </row>
    <row r="2" spans="1:23" ht="29.25" thickBot="1" x14ac:dyDescent="0.3">
      <c r="A2" s="45" t="s">
        <v>211</v>
      </c>
      <c r="B2" s="45" t="s">
        <v>211</v>
      </c>
      <c r="C2" s="45" t="s">
        <v>211</v>
      </c>
      <c r="D2" s="46" t="s">
        <v>156</v>
      </c>
      <c r="E2" s="45"/>
      <c r="F2" s="45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4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D5C-B3F0-46D6-ABA6-751BBDCFE0BF}">
  <dimension ref="A1:K25"/>
  <sheetViews>
    <sheetView workbookViewId="0">
      <selection activeCell="A2" sqref="A2:A24"/>
    </sheetView>
  </sheetViews>
  <sheetFormatPr defaultRowHeight="15" x14ac:dyDescent="0.25"/>
  <cols>
    <col min="1" max="1" width="4.28515625" bestFit="1" customWidth="1"/>
    <col min="2" max="2" width="30.140625" bestFit="1" customWidth="1"/>
    <col min="3" max="3" width="26.5703125" bestFit="1" customWidth="1"/>
    <col min="4" max="4" width="36.5703125" bestFit="1" customWidth="1"/>
    <col min="5" max="5" width="16.5703125" bestFit="1" customWidth="1"/>
    <col min="6" max="6" width="22.140625" bestFit="1" customWidth="1"/>
    <col min="7" max="7" width="34.140625" bestFit="1" customWidth="1"/>
    <col min="8" max="8" width="14" bestFit="1" customWidth="1"/>
    <col min="9" max="9" width="14.5703125" bestFit="1" customWidth="1"/>
    <col min="10" max="10" width="14" bestFit="1" customWidth="1"/>
  </cols>
  <sheetData>
    <row r="1" spans="1:11" x14ac:dyDescent="0.25">
      <c r="A1" s="11" t="s">
        <v>63</v>
      </c>
      <c r="B1" s="12" t="s">
        <v>62</v>
      </c>
      <c r="C1" s="12" t="s">
        <v>64</v>
      </c>
      <c r="D1" s="12" t="s">
        <v>65</v>
      </c>
      <c r="E1" s="12" t="s">
        <v>66</v>
      </c>
      <c r="F1" s="12" t="s">
        <v>58</v>
      </c>
      <c r="G1" s="12" t="s">
        <v>52</v>
      </c>
      <c r="H1" s="12" t="s">
        <v>51</v>
      </c>
      <c r="I1" s="12" t="s">
        <v>59</v>
      </c>
      <c r="J1" s="12" t="s">
        <v>67</v>
      </c>
      <c r="K1" s="55" t="s">
        <v>215</v>
      </c>
    </row>
    <row r="2" spans="1:11" x14ac:dyDescent="0.25">
      <c r="A2" s="14">
        <v>1</v>
      </c>
      <c r="B2" s="15" t="s">
        <v>68</v>
      </c>
      <c r="C2" s="15" t="s">
        <v>69</v>
      </c>
      <c r="D2" s="15" t="s">
        <v>70</v>
      </c>
      <c r="E2" s="16" t="s">
        <v>71</v>
      </c>
      <c r="F2" s="15" t="s">
        <v>72</v>
      </c>
      <c r="G2" s="15" t="s">
        <v>73</v>
      </c>
      <c r="H2" s="16" t="s">
        <v>74</v>
      </c>
      <c r="I2" s="15" t="s">
        <v>75</v>
      </c>
      <c r="J2" s="15" t="s">
        <v>76</v>
      </c>
      <c r="K2" s="56" t="s">
        <v>154</v>
      </c>
    </row>
    <row r="3" spans="1:11" x14ac:dyDescent="0.25">
      <c r="A3" s="14">
        <v>2</v>
      </c>
      <c r="B3" s="15" t="s">
        <v>77</v>
      </c>
      <c r="C3" s="15" t="s">
        <v>71</v>
      </c>
      <c r="D3" s="15" t="s">
        <v>78</v>
      </c>
      <c r="E3" s="16" t="s">
        <v>79</v>
      </c>
      <c r="F3" s="15" t="s">
        <v>80</v>
      </c>
      <c r="G3" s="15" t="s">
        <v>81</v>
      </c>
      <c r="H3" s="16" t="s">
        <v>82</v>
      </c>
      <c r="I3" s="15" t="s">
        <v>83</v>
      </c>
      <c r="J3" s="15" t="s">
        <v>84</v>
      </c>
      <c r="K3" s="56" t="s">
        <v>157</v>
      </c>
    </row>
    <row r="4" spans="1:11" x14ac:dyDescent="0.25">
      <c r="A4" s="14">
        <v>3</v>
      </c>
      <c r="B4" s="15" t="s">
        <v>85</v>
      </c>
      <c r="C4" s="17" t="s">
        <v>86</v>
      </c>
      <c r="D4" s="18" t="s">
        <v>87</v>
      </c>
      <c r="E4" s="16" t="s">
        <v>88</v>
      </c>
      <c r="F4" s="15" t="s">
        <v>89</v>
      </c>
      <c r="G4" s="15" t="s">
        <v>90</v>
      </c>
      <c r="H4" s="15"/>
      <c r="I4" s="15"/>
      <c r="J4" s="15" t="s">
        <v>91</v>
      </c>
    </row>
    <row r="5" spans="1:11" x14ac:dyDescent="0.25">
      <c r="A5" s="14">
        <v>4</v>
      </c>
      <c r="B5" s="15" t="s">
        <v>92</v>
      </c>
      <c r="C5" s="19" t="s">
        <v>93</v>
      </c>
      <c r="D5" s="15" t="s">
        <v>94</v>
      </c>
      <c r="E5" s="16" t="s">
        <v>95</v>
      </c>
      <c r="F5" s="15" t="s">
        <v>96</v>
      </c>
      <c r="G5" s="15" t="s">
        <v>97</v>
      </c>
      <c r="H5" s="15"/>
      <c r="I5" s="15"/>
      <c r="J5" s="15" t="s">
        <v>98</v>
      </c>
    </row>
    <row r="6" spans="1:11" x14ac:dyDescent="0.25">
      <c r="A6" s="14">
        <v>5</v>
      </c>
      <c r="B6" s="15" t="s">
        <v>99</v>
      </c>
      <c r="C6" s="15" t="s">
        <v>100</v>
      </c>
      <c r="D6" s="15" t="s">
        <v>101</v>
      </c>
      <c r="E6" s="16" t="s">
        <v>102</v>
      </c>
      <c r="F6" s="15" t="s">
        <v>103</v>
      </c>
      <c r="G6" s="15" t="s">
        <v>103</v>
      </c>
      <c r="H6" s="15"/>
      <c r="I6" s="15"/>
      <c r="J6" s="15"/>
    </row>
    <row r="7" spans="1:11" x14ac:dyDescent="0.25">
      <c r="A7" s="14">
        <v>6</v>
      </c>
      <c r="B7" s="15"/>
      <c r="C7" s="15" t="s">
        <v>104</v>
      </c>
      <c r="D7" s="15" t="s">
        <v>105</v>
      </c>
      <c r="E7" s="16" t="s">
        <v>93</v>
      </c>
      <c r="F7" s="15" t="s">
        <v>106</v>
      </c>
      <c r="G7" s="15" t="s">
        <v>107</v>
      </c>
      <c r="H7" s="15"/>
      <c r="I7" s="15"/>
      <c r="J7" s="15"/>
    </row>
    <row r="8" spans="1:11" x14ac:dyDescent="0.25">
      <c r="A8" s="14">
        <v>7</v>
      </c>
      <c r="B8" s="15"/>
      <c r="C8" s="15" t="s">
        <v>108</v>
      </c>
      <c r="D8" s="15" t="s">
        <v>109</v>
      </c>
      <c r="E8" s="16" t="s">
        <v>110</v>
      </c>
      <c r="F8" s="15" t="s">
        <v>111</v>
      </c>
      <c r="G8" s="15" t="s">
        <v>106</v>
      </c>
      <c r="H8" s="15"/>
      <c r="I8" s="15"/>
      <c r="J8" s="15"/>
    </row>
    <row r="9" spans="1:11" x14ac:dyDescent="0.25">
      <c r="A9" s="14">
        <v>8</v>
      </c>
      <c r="B9" s="15"/>
      <c r="C9" s="15" t="s">
        <v>112</v>
      </c>
      <c r="D9" s="15" t="s">
        <v>113</v>
      </c>
      <c r="E9" s="16" t="s">
        <v>114</v>
      </c>
      <c r="F9" s="15" t="s">
        <v>115</v>
      </c>
      <c r="G9" s="15" t="s">
        <v>116</v>
      </c>
      <c r="H9" s="15"/>
      <c r="I9" s="15"/>
      <c r="J9" s="15"/>
    </row>
    <row r="10" spans="1:11" x14ac:dyDescent="0.25">
      <c r="A10" s="14">
        <v>9</v>
      </c>
      <c r="B10" s="15"/>
      <c r="C10" s="15" t="s">
        <v>117</v>
      </c>
      <c r="D10" s="15"/>
      <c r="E10" s="16" t="s">
        <v>118</v>
      </c>
      <c r="F10" s="15" t="s">
        <v>119</v>
      </c>
      <c r="G10" s="15"/>
      <c r="H10" s="15"/>
      <c r="I10" s="15"/>
      <c r="J10" s="15"/>
    </row>
    <row r="11" spans="1:11" x14ac:dyDescent="0.25">
      <c r="A11" s="14">
        <v>10</v>
      </c>
      <c r="B11" s="15"/>
      <c r="C11" s="15" t="s">
        <v>120</v>
      </c>
      <c r="D11" s="15"/>
      <c r="E11" s="16" t="s">
        <v>121</v>
      </c>
      <c r="F11" s="15" t="s">
        <v>122</v>
      </c>
      <c r="G11" s="17"/>
      <c r="H11" s="18"/>
      <c r="I11" s="15"/>
      <c r="J11" s="15"/>
    </row>
    <row r="12" spans="1:11" x14ac:dyDescent="0.25">
      <c r="A12" s="14">
        <v>11</v>
      </c>
      <c r="B12" s="15"/>
      <c r="C12" s="15" t="s">
        <v>123</v>
      </c>
      <c r="D12" s="15"/>
      <c r="E12" s="16" t="s">
        <v>124</v>
      </c>
      <c r="F12" s="15"/>
      <c r="G12" s="19"/>
      <c r="H12" s="15"/>
      <c r="I12" s="15"/>
      <c r="J12" s="15"/>
    </row>
    <row r="13" spans="1:11" x14ac:dyDescent="0.25">
      <c r="A13" s="14">
        <v>12</v>
      </c>
      <c r="B13" s="15"/>
      <c r="C13" s="15"/>
      <c r="D13" s="15"/>
      <c r="E13" s="16" t="s">
        <v>125</v>
      </c>
      <c r="F13" s="15"/>
      <c r="G13" s="15"/>
      <c r="H13" s="15"/>
      <c r="I13" s="15"/>
      <c r="J13" s="15"/>
    </row>
    <row r="14" spans="1:11" x14ac:dyDescent="0.25">
      <c r="A14" s="14">
        <v>13</v>
      </c>
      <c r="B14" s="15"/>
      <c r="C14" s="15"/>
      <c r="D14" s="15"/>
      <c r="E14" s="16" t="s">
        <v>126</v>
      </c>
      <c r="F14" s="15"/>
      <c r="G14" s="15"/>
      <c r="H14" s="15"/>
      <c r="I14" s="15"/>
      <c r="J14" s="15"/>
    </row>
    <row r="15" spans="1:11" x14ac:dyDescent="0.25">
      <c r="A15" s="14">
        <v>14</v>
      </c>
      <c r="B15" s="15"/>
      <c r="C15" s="15"/>
      <c r="D15" s="15"/>
      <c r="E15" s="16" t="s">
        <v>127</v>
      </c>
      <c r="F15" s="15"/>
      <c r="G15" s="15"/>
      <c r="H15" s="15"/>
      <c r="I15" s="15"/>
      <c r="J15" s="15"/>
    </row>
    <row r="16" spans="1:11" x14ac:dyDescent="0.25">
      <c r="A16" s="14">
        <v>15</v>
      </c>
      <c r="B16" s="15"/>
      <c r="C16" s="15"/>
      <c r="D16" s="15"/>
      <c r="E16" s="16" t="s">
        <v>128</v>
      </c>
      <c r="F16" s="15"/>
      <c r="G16" s="15"/>
      <c r="H16" s="15"/>
      <c r="I16" s="15"/>
      <c r="J16" s="15"/>
    </row>
    <row r="17" spans="1:10" ht="24.75" x14ac:dyDescent="0.25">
      <c r="A17" s="14">
        <v>16</v>
      </c>
      <c r="B17" s="15"/>
      <c r="C17" s="15"/>
      <c r="D17" s="15"/>
      <c r="E17" s="16" t="s">
        <v>129</v>
      </c>
      <c r="F17" s="15"/>
      <c r="G17" s="15"/>
      <c r="H17" s="15"/>
      <c r="I17" s="15"/>
      <c r="J17" s="15"/>
    </row>
    <row r="18" spans="1:10" x14ac:dyDescent="0.25">
      <c r="A18" s="14">
        <v>17</v>
      </c>
      <c r="B18" s="15"/>
      <c r="C18" s="15"/>
      <c r="D18" s="15"/>
      <c r="E18" s="16" t="s">
        <v>130</v>
      </c>
      <c r="F18" s="15"/>
      <c r="G18" s="15"/>
      <c r="H18" s="15"/>
      <c r="I18" s="15"/>
      <c r="J18" s="15"/>
    </row>
    <row r="19" spans="1:10" ht="24.75" x14ac:dyDescent="0.25">
      <c r="A19" s="14">
        <v>18</v>
      </c>
      <c r="B19" s="15"/>
      <c r="C19" s="15"/>
      <c r="D19" s="15"/>
      <c r="E19" s="16" t="s">
        <v>131</v>
      </c>
      <c r="F19" s="15"/>
      <c r="G19" s="15"/>
      <c r="H19" s="15"/>
      <c r="I19" s="15"/>
      <c r="J19" s="15"/>
    </row>
    <row r="20" spans="1:10" x14ac:dyDescent="0.25">
      <c r="A20" s="14">
        <v>19</v>
      </c>
      <c r="B20" s="15"/>
      <c r="C20" s="15"/>
      <c r="D20" s="15"/>
      <c r="E20" s="16" t="s">
        <v>132</v>
      </c>
      <c r="F20" s="15"/>
      <c r="G20" s="15"/>
      <c r="H20" s="15"/>
      <c r="I20" s="15"/>
      <c r="J20" s="15"/>
    </row>
    <row r="21" spans="1:10" x14ac:dyDescent="0.25">
      <c r="A21" s="14">
        <v>20</v>
      </c>
      <c r="B21" s="15"/>
      <c r="C21" s="15"/>
      <c r="D21" s="15"/>
      <c r="E21" s="16" t="s">
        <v>133</v>
      </c>
      <c r="F21" s="15"/>
      <c r="G21" s="15"/>
      <c r="H21" s="15"/>
      <c r="I21" s="15"/>
      <c r="J21" s="15"/>
    </row>
    <row r="22" spans="1:10" x14ac:dyDescent="0.25">
      <c r="A22" s="14">
        <v>21</v>
      </c>
      <c r="B22" s="15"/>
      <c r="C22" s="15"/>
      <c r="D22" s="15"/>
      <c r="E22" s="16" t="s">
        <v>134</v>
      </c>
      <c r="F22" s="15"/>
      <c r="G22" s="15"/>
      <c r="H22" s="15"/>
      <c r="I22" s="15"/>
      <c r="J22" s="15"/>
    </row>
    <row r="23" spans="1:10" x14ac:dyDescent="0.25">
      <c r="A23" s="14">
        <v>22</v>
      </c>
      <c r="B23" s="15"/>
      <c r="C23" s="15"/>
      <c r="D23" s="15"/>
      <c r="E23" s="16" t="s">
        <v>135</v>
      </c>
      <c r="F23" s="15"/>
      <c r="G23" s="15"/>
      <c r="H23" s="15"/>
      <c r="I23" s="15"/>
      <c r="J23" s="15"/>
    </row>
    <row r="24" spans="1:10" x14ac:dyDescent="0.25">
      <c r="A24" s="14">
        <v>23</v>
      </c>
      <c r="B24" s="15"/>
      <c r="C24" s="15"/>
      <c r="D24" s="15"/>
      <c r="E24" s="16" t="s">
        <v>136</v>
      </c>
      <c r="F24" s="15"/>
      <c r="G24" s="15"/>
      <c r="H24" s="15"/>
      <c r="I24" s="15"/>
      <c r="J24" s="15"/>
    </row>
    <row r="25" spans="1:10" x14ac:dyDescent="0.25">
      <c r="A25" s="72"/>
      <c r="B25" s="72"/>
      <c r="C25" s="13"/>
      <c r="D25" s="13"/>
      <c r="E25" s="13"/>
      <c r="F25" s="13"/>
      <c r="G25" s="13"/>
      <c r="H25" s="13"/>
      <c r="I25" s="13"/>
      <c r="J25" s="13"/>
    </row>
  </sheetData>
  <mergeCells count="1">
    <mergeCell ref="A25:B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049-DBA6-45B7-8636-932EE5540AC0}">
  <dimension ref="A1:K6"/>
  <sheetViews>
    <sheetView workbookViewId="0">
      <selection activeCell="B14" sqref="B14"/>
    </sheetView>
  </sheetViews>
  <sheetFormatPr defaultRowHeight="15" x14ac:dyDescent="0.25"/>
  <cols>
    <col min="1" max="1" width="17" bestFit="1" customWidth="1"/>
    <col min="2" max="2" width="19.140625" bestFit="1" customWidth="1"/>
    <col min="3" max="3" width="5.7109375" customWidth="1"/>
    <col min="4" max="5" width="22.42578125" customWidth="1"/>
    <col min="7" max="7" width="12.7109375" customWidth="1"/>
    <col min="8" max="8" width="13.42578125" customWidth="1"/>
  </cols>
  <sheetData>
    <row r="1" spans="1:11" x14ac:dyDescent="0.25">
      <c r="A1" s="73" t="s">
        <v>146</v>
      </c>
      <c r="B1" s="73"/>
      <c r="D1" s="73" t="s">
        <v>148</v>
      </c>
      <c r="E1" s="73"/>
      <c r="G1" s="74" t="s">
        <v>193</v>
      </c>
      <c r="H1" s="74"/>
      <c r="J1" s="73" t="s">
        <v>219</v>
      </c>
      <c r="K1" s="73"/>
    </row>
    <row r="2" spans="1:11" x14ac:dyDescent="0.25">
      <c r="A2" s="20" t="s">
        <v>36</v>
      </c>
      <c r="B2" s="20" t="s">
        <v>145</v>
      </c>
      <c r="D2" s="20" t="s">
        <v>36</v>
      </c>
      <c r="E2" s="20" t="s">
        <v>145</v>
      </c>
      <c r="G2" s="20" t="s">
        <v>36</v>
      </c>
      <c r="H2" s="20" t="s">
        <v>145</v>
      </c>
      <c r="J2" s="20" t="s">
        <v>36</v>
      </c>
      <c r="K2" s="20" t="s">
        <v>145</v>
      </c>
    </row>
    <row r="3" spans="1:11" x14ac:dyDescent="0.25">
      <c r="A3" s="6" t="s">
        <v>138</v>
      </c>
      <c r="B3" s="6" t="s">
        <v>146</v>
      </c>
      <c r="D3" s="6" t="s">
        <v>138</v>
      </c>
      <c r="E3" s="6" t="s">
        <v>139</v>
      </c>
      <c r="G3" s="10" t="s">
        <v>153</v>
      </c>
      <c r="H3" s="10" t="s">
        <v>153</v>
      </c>
      <c r="J3" s="6" t="s">
        <v>139</v>
      </c>
      <c r="K3" s="6" t="s">
        <v>139</v>
      </c>
    </row>
    <row r="4" spans="1:11" x14ac:dyDescent="0.25">
      <c r="A4" s="6" t="s">
        <v>137</v>
      </c>
      <c r="B4" s="6" t="s">
        <v>147</v>
      </c>
      <c r="D4" s="6" t="s">
        <v>141</v>
      </c>
      <c r="E4" s="6" t="s">
        <v>140</v>
      </c>
      <c r="G4" s="10" t="s">
        <v>139</v>
      </c>
      <c r="H4" s="10" t="s">
        <v>139</v>
      </c>
      <c r="J4" s="6" t="s">
        <v>153</v>
      </c>
      <c r="K4" s="6" t="s">
        <v>153</v>
      </c>
    </row>
    <row r="5" spans="1:11" x14ac:dyDescent="0.25">
      <c r="D5" s="6" t="s">
        <v>220</v>
      </c>
      <c r="E5" s="6" t="s">
        <v>142</v>
      </c>
    </row>
    <row r="6" spans="1:11" x14ac:dyDescent="0.25">
      <c r="D6" s="6" t="s">
        <v>143</v>
      </c>
      <c r="E6" s="6" t="s">
        <v>144</v>
      </c>
    </row>
  </sheetData>
  <mergeCells count="4">
    <mergeCell ref="A1:B1"/>
    <mergeCell ref="D1:E1"/>
    <mergeCell ref="G1:H1"/>
    <mergeCell ref="J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Beneficiarios</vt:lpstr>
      <vt:lpstr>Afastados</vt:lpstr>
      <vt:lpstr>Beneficio Previdenciario</vt:lpstr>
      <vt:lpstr>Absenteismo</vt:lpstr>
      <vt:lpstr>Empresa(san)</vt:lpstr>
      <vt:lpstr>referencia</vt:lpstr>
      <vt:lpstr>Situações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sandler</cp:lastModifiedBy>
  <dcterms:modified xsi:type="dcterms:W3CDTF">2023-03-12T20:52:49Z</dcterms:modified>
</cp:coreProperties>
</file>